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عروض الأسعار" sheetId="1" state="visible" r:id="rId3"/>
    <sheet name="مقارنة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15" authorId="0">
      <text>
        <r>
          <rPr>
            <sz val="10"/>
            <rFont val="FreeSans"/>
            <family val="2"/>
          </rPr>
          <t xml:space="preserve">قراءة غير مؤكدة من الصورة (</t>
        </r>
        <r>
          <rPr>
            <sz val="10"/>
            <rFont val="Arial"/>
            <family val="2"/>
          </rPr>
          <t xml:space="preserve">415) - يرجى التحقق</t>
        </r>
      </text>
    </comment>
    <comment ref="H18" authorId="0">
      <text>
        <r>
          <rPr>
            <sz val="10"/>
            <rFont val="FreeSans"/>
            <family val="2"/>
          </rPr>
          <t xml:space="preserve">مكتوب يشبه </t>
        </r>
        <r>
          <rPr>
            <sz val="10"/>
            <rFont val="Arial"/>
            <family val="2"/>
          </rPr>
          <t xml:space="preserve">610 أو 670 - تمت قراءته 670</t>
        </r>
      </text>
    </comment>
  </commentList>
</comments>
</file>

<file path=xl/sharedStrings.xml><?xml version="1.0" encoding="utf-8"?>
<sst xmlns="http://schemas.openxmlformats.org/spreadsheetml/2006/main" count="49" uniqueCount="40">
  <si>
    <t xml:space="preserve">#</t>
  </si>
  <si>
    <t xml:space="preserve">الفندق</t>
  </si>
  <si>
    <t xml:space="preserve">التصنيف</t>
  </si>
  <si>
    <t xml:space="preserve">المنطقة</t>
  </si>
  <si>
    <t xml:space="preserve">المدة (أيام)</t>
  </si>
  <si>
    <t xml:space="preserve">عدد الليالي</t>
  </si>
  <si>
    <t xml:space="preserve">السعر 1</t>
  </si>
  <si>
    <t xml:space="preserve">السعر 2</t>
  </si>
  <si>
    <t xml:space="preserve">الفرق</t>
  </si>
  <si>
    <t xml:space="preserve">سعر الليلة (سعر 1)</t>
  </si>
  <si>
    <t xml:space="preserve">سعر الليلة (سعر 2)</t>
  </si>
  <si>
    <t xml:space="preserve">Taksim Express Hotel</t>
  </si>
  <si>
    <t xml:space="preserve">4*</t>
  </si>
  <si>
    <t xml:space="preserve">Taksim</t>
  </si>
  <si>
    <t xml:space="preserve">Four Sides Hotel</t>
  </si>
  <si>
    <t xml:space="preserve">Konak Hotel</t>
  </si>
  <si>
    <t xml:space="preserve">Cher Hotel</t>
  </si>
  <si>
    <t xml:space="preserve">5*</t>
  </si>
  <si>
    <t xml:space="preserve">Beyoglu</t>
  </si>
  <si>
    <t xml:space="preserve">Golden Age Hotel</t>
  </si>
  <si>
    <t xml:space="preserve">Point Hotel</t>
  </si>
  <si>
    <t xml:space="preserve">ملاحظات:</t>
  </si>
  <si>
    <t xml:space="preserve">• البيانات مفرّغة من صورة ورقة مكتوبة بخط اليد (الفنادق 7 إلى 12).</t>
  </si>
  <si>
    <t xml:space="preserve">• عناوين عمودي السعر غير مكتوبة في الورقة (غالباً: السعر للشخص في غرفة مزدوجة / غرفة مفردة) - عدّل العنوان حسب الصحيح.</t>
  </si>
  <si>
    <t xml:space="preserve">• الخلايا المظللة بالأصفر قراءتها غير مؤكدة. عدد الليالي مفترض = عدد الأيام - 1.</t>
  </si>
  <si>
    <t xml:space="preserve">• الأرقام بالأزرق مدخلات، والأعمدة السوداء محسوبة بمعادلات.</t>
  </si>
  <si>
    <t xml:space="preserve">4 أيام - سعر 1</t>
  </si>
  <si>
    <t xml:space="preserve">4 أيام - سعر 2</t>
  </si>
  <si>
    <t xml:space="preserve">5 أيام - سعر 1</t>
  </si>
  <si>
    <t xml:space="preserve">5 أيام - سعر 2</t>
  </si>
  <si>
    <t xml:space="preserve">8 أيام - سعر 1</t>
  </si>
  <si>
    <t xml:space="preserve">8 أيام - سعر 2</t>
  </si>
  <si>
    <t xml:space="preserve">Taksim Express Hotel (4*)</t>
  </si>
  <si>
    <t xml:space="preserve">Four Sides Hotel (4*)</t>
  </si>
  <si>
    <t xml:space="preserve">Konak Hotel (4*)</t>
  </si>
  <si>
    <t xml:space="preserve">Cher Hotel (5*)</t>
  </si>
  <si>
    <t xml:space="preserve">Golden Age Hotel (4*)</t>
  </si>
  <si>
    <t xml:space="preserve">Point Hotel (5*)</t>
  </si>
  <si>
    <t xml:space="preserve">الأرخص</t>
  </si>
  <si>
    <t xml:space="preserve">الفندق الأرخص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</si>
</sst>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#,##0.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0"/>
      <name val="FreeSans"/>
      <family val="2"/>
    </font>
    <font>
      <sz val="10"/>
      <name val="Arial"/>
      <family val="2"/>
    </font>
    <font>
      <sz val="11"/>
      <color rgb="FF008000"/>
      <name val="Arial"/>
      <family val="0"/>
      <charset val="1"/>
    </font>
    <font>
      <b val="true"/>
      <sz val="11"/>
      <color rgb="FF000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FF"/>
        <bgColor rgb="FFEAF1FB"/>
      </patternFill>
    </fill>
    <fill>
      <patternFill patternType="solid">
        <fgColor rgb="FFEAF1FB"/>
        <bgColor rgb="FFE2EFDA"/>
      </patternFill>
    </fill>
    <fill>
      <patternFill patternType="solid">
        <fgColor rgb="FFFFFF00"/>
        <bgColor rgb="FFFFFF00"/>
      </patternFill>
    </fill>
    <fill>
      <patternFill patternType="solid">
        <fgColor rgb="FFE2EFDA"/>
        <bgColor rgb="FFEAF1F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AF1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5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9"/>
    <col collapsed="false" customWidth="true" hidden="false" outlineLevel="0" max="5" min="4" style="0" width="11"/>
    <col collapsed="false" customWidth="true" hidden="false" outlineLevel="0" max="8" min="6" style="0" width="10"/>
    <col collapsed="false" customWidth="true" hidden="false" outlineLevel="0" max="9" min="9" style="0" width="9"/>
    <col collapsed="false" customWidth="true" hidden="false" outlineLevel="0" max="11" min="10" style="0" width="14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2" t="n">
        <v>7</v>
      </c>
      <c r="B2" s="2" t="s">
        <v>11</v>
      </c>
      <c r="C2" s="2" t="s">
        <v>12</v>
      </c>
      <c r="D2" s="2" t="s">
        <v>13</v>
      </c>
      <c r="E2" s="2" t="n">
        <v>4</v>
      </c>
      <c r="F2" s="2" t="n">
        <f aca="false">E2-1</f>
        <v>3</v>
      </c>
      <c r="G2" s="3" t="n">
        <v>345</v>
      </c>
      <c r="H2" s="3" t="n">
        <v>415</v>
      </c>
      <c r="I2" s="4" t="n">
        <f aca="false">H2-G2</f>
        <v>70</v>
      </c>
      <c r="J2" s="5" t="n">
        <f aca="false">G2/F2</f>
        <v>115</v>
      </c>
      <c r="K2" s="5" t="n">
        <f aca="false">H2/F2</f>
        <v>138.333333333333</v>
      </c>
    </row>
    <row r="3" customFormat="false" ht="15" hidden="false" customHeight="false" outlineLevel="0" collapsed="false">
      <c r="A3" s="2"/>
      <c r="B3" s="2"/>
      <c r="C3" s="2"/>
      <c r="D3" s="2"/>
      <c r="E3" s="2" t="n">
        <v>5</v>
      </c>
      <c r="F3" s="2" t="n">
        <f aca="false">E3-1</f>
        <v>4</v>
      </c>
      <c r="G3" s="3" t="n">
        <v>370</v>
      </c>
      <c r="H3" s="3" t="n">
        <v>465</v>
      </c>
      <c r="I3" s="4" t="n">
        <f aca="false">H3-G3</f>
        <v>95</v>
      </c>
      <c r="J3" s="5" t="n">
        <f aca="false">G3/F3</f>
        <v>92.5</v>
      </c>
      <c r="K3" s="5" t="n">
        <f aca="false">H3/F3</f>
        <v>116.25</v>
      </c>
    </row>
    <row r="4" customFormat="false" ht="15" hidden="false" customHeight="false" outlineLevel="0" collapsed="false">
      <c r="A4" s="2"/>
      <c r="B4" s="2"/>
      <c r="C4" s="2"/>
      <c r="D4" s="2"/>
      <c r="E4" s="2" t="n">
        <v>8</v>
      </c>
      <c r="F4" s="2" t="n">
        <f aca="false">E4-1</f>
        <v>7</v>
      </c>
      <c r="G4" s="3" t="n">
        <v>440</v>
      </c>
      <c r="H4" s="3" t="n">
        <v>605</v>
      </c>
      <c r="I4" s="4" t="n">
        <f aca="false">H4-G4</f>
        <v>165</v>
      </c>
      <c r="J4" s="5" t="n">
        <f aca="false">G4/F4</f>
        <v>62.8571428571429</v>
      </c>
      <c r="K4" s="5" t="n">
        <f aca="false">H4/F4</f>
        <v>86.4285714285714</v>
      </c>
    </row>
    <row r="5" customFormat="false" ht="15" hidden="false" customHeight="false" outlineLevel="0" collapsed="false">
      <c r="A5" s="6" t="n">
        <v>8</v>
      </c>
      <c r="B5" s="6" t="s">
        <v>14</v>
      </c>
      <c r="C5" s="6" t="s">
        <v>12</v>
      </c>
      <c r="D5" s="6" t="s">
        <v>13</v>
      </c>
      <c r="E5" s="6" t="n">
        <v>4</v>
      </c>
      <c r="F5" s="6" t="n">
        <f aca="false">E5-1</f>
        <v>3</v>
      </c>
      <c r="G5" s="7" t="n">
        <v>350</v>
      </c>
      <c r="H5" s="7" t="n">
        <v>430</v>
      </c>
      <c r="I5" s="8" t="n">
        <f aca="false">H5-G5</f>
        <v>80</v>
      </c>
      <c r="J5" s="9" t="n">
        <f aca="false">G5/F5</f>
        <v>116.666666666667</v>
      </c>
      <c r="K5" s="9" t="n">
        <f aca="false">H5/F5</f>
        <v>143.333333333333</v>
      </c>
    </row>
    <row r="6" customFormat="false" ht="15" hidden="false" customHeight="false" outlineLevel="0" collapsed="false">
      <c r="A6" s="6"/>
      <c r="B6" s="6"/>
      <c r="C6" s="6"/>
      <c r="D6" s="6"/>
      <c r="E6" s="6" t="n">
        <v>5</v>
      </c>
      <c r="F6" s="6" t="n">
        <f aca="false">E6-1</f>
        <v>4</v>
      </c>
      <c r="G6" s="7" t="n">
        <v>375</v>
      </c>
      <c r="H6" s="7" t="n">
        <v>480</v>
      </c>
      <c r="I6" s="8" t="n">
        <f aca="false">H6-G6</f>
        <v>105</v>
      </c>
      <c r="J6" s="9" t="n">
        <f aca="false">G6/F6</f>
        <v>93.75</v>
      </c>
      <c r="K6" s="9" t="n">
        <f aca="false">H6/F6</f>
        <v>120</v>
      </c>
    </row>
    <row r="7" customFormat="false" ht="15" hidden="false" customHeight="false" outlineLevel="0" collapsed="false">
      <c r="A7" s="6"/>
      <c r="B7" s="6"/>
      <c r="C7" s="6"/>
      <c r="D7" s="6"/>
      <c r="E7" s="6" t="n">
        <v>8</v>
      </c>
      <c r="F7" s="6" t="n">
        <f aca="false">E7-1</f>
        <v>7</v>
      </c>
      <c r="G7" s="7" t="n">
        <v>455</v>
      </c>
      <c r="H7" s="7" t="n">
        <v>635</v>
      </c>
      <c r="I7" s="8" t="n">
        <f aca="false">H7-G7</f>
        <v>180</v>
      </c>
      <c r="J7" s="9" t="n">
        <f aca="false">G7/F7</f>
        <v>65</v>
      </c>
      <c r="K7" s="9" t="n">
        <f aca="false">H7/F7</f>
        <v>90.7142857142857</v>
      </c>
    </row>
    <row r="8" customFormat="false" ht="15" hidden="false" customHeight="false" outlineLevel="0" collapsed="false">
      <c r="A8" s="2" t="n">
        <v>9</v>
      </c>
      <c r="B8" s="2" t="s">
        <v>15</v>
      </c>
      <c r="C8" s="2" t="s">
        <v>12</v>
      </c>
      <c r="D8" s="2" t="s">
        <v>13</v>
      </c>
      <c r="E8" s="2" t="n">
        <v>4</v>
      </c>
      <c r="F8" s="2" t="n">
        <f aca="false">E8-1</f>
        <v>3</v>
      </c>
      <c r="G8" s="3" t="n">
        <v>360</v>
      </c>
      <c r="H8" s="3" t="n">
        <v>450</v>
      </c>
      <c r="I8" s="4" t="n">
        <f aca="false">H8-G8</f>
        <v>90</v>
      </c>
      <c r="J8" s="5" t="n">
        <f aca="false">G8/F8</f>
        <v>120</v>
      </c>
      <c r="K8" s="5" t="n">
        <f aca="false">H8/F8</f>
        <v>150</v>
      </c>
    </row>
    <row r="9" customFormat="false" ht="15" hidden="false" customHeight="false" outlineLevel="0" collapsed="false">
      <c r="A9" s="2"/>
      <c r="B9" s="2"/>
      <c r="C9" s="2"/>
      <c r="D9" s="2"/>
      <c r="E9" s="2" t="n">
        <v>5</v>
      </c>
      <c r="F9" s="2" t="n">
        <f aca="false">E9-1</f>
        <v>4</v>
      </c>
      <c r="G9" s="3" t="n">
        <v>380</v>
      </c>
      <c r="H9" s="3" t="n">
        <v>505</v>
      </c>
      <c r="I9" s="4" t="n">
        <f aca="false">H9-G9</f>
        <v>125</v>
      </c>
      <c r="J9" s="5" t="n">
        <f aca="false">G9/F9</f>
        <v>95</v>
      </c>
      <c r="K9" s="5" t="n">
        <f aca="false">H9/F9</f>
        <v>126.25</v>
      </c>
    </row>
    <row r="10" customFormat="false" ht="15" hidden="false" customHeight="false" outlineLevel="0" collapsed="false">
      <c r="A10" s="2"/>
      <c r="B10" s="2"/>
      <c r="C10" s="2"/>
      <c r="D10" s="2"/>
      <c r="E10" s="2" t="n">
        <v>8</v>
      </c>
      <c r="F10" s="2" t="n">
        <f aca="false">E10-1</f>
        <v>7</v>
      </c>
      <c r="G10" s="3" t="n">
        <v>415</v>
      </c>
      <c r="H10" s="3" t="n">
        <v>680</v>
      </c>
      <c r="I10" s="4" t="n">
        <f aca="false">H10-G10</f>
        <v>265</v>
      </c>
      <c r="J10" s="5" t="n">
        <f aca="false">G10/F10</f>
        <v>59.2857142857143</v>
      </c>
      <c r="K10" s="5" t="n">
        <f aca="false">H10/F10</f>
        <v>97.1428571428571</v>
      </c>
    </row>
    <row r="11" customFormat="false" ht="15" hidden="false" customHeight="false" outlineLevel="0" collapsed="false">
      <c r="A11" s="6" t="n">
        <v>10</v>
      </c>
      <c r="B11" s="6" t="s">
        <v>16</v>
      </c>
      <c r="C11" s="6" t="s">
        <v>17</v>
      </c>
      <c r="D11" s="6" t="s">
        <v>18</v>
      </c>
      <c r="E11" s="6" t="n">
        <v>4</v>
      </c>
      <c r="F11" s="6" t="n">
        <f aca="false">E11-1</f>
        <v>3</v>
      </c>
      <c r="G11" s="7" t="n">
        <v>370</v>
      </c>
      <c r="H11" s="7" t="n">
        <v>455</v>
      </c>
      <c r="I11" s="8" t="n">
        <f aca="false">H11-G11</f>
        <v>85</v>
      </c>
      <c r="J11" s="9" t="n">
        <f aca="false">G11/F11</f>
        <v>123.333333333333</v>
      </c>
      <c r="K11" s="9" t="n">
        <f aca="false">H11/F11</f>
        <v>151.666666666667</v>
      </c>
    </row>
    <row r="12" customFormat="false" ht="15" hidden="false" customHeight="false" outlineLevel="0" collapsed="false">
      <c r="A12" s="6"/>
      <c r="B12" s="6"/>
      <c r="C12" s="6"/>
      <c r="D12" s="6"/>
      <c r="E12" s="6" t="n">
        <v>5</v>
      </c>
      <c r="F12" s="6" t="n">
        <f aca="false">E12-1</f>
        <v>4</v>
      </c>
      <c r="G12" s="7" t="n">
        <v>399</v>
      </c>
      <c r="H12" s="7" t="n">
        <v>510</v>
      </c>
      <c r="I12" s="8" t="n">
        <f aca="false">H12-G12</f>
        <v>111</v>
      </c>
      <c r="J12" s="9" t="n">
        <f aca="false">G12/F12</f>
        <v>99.75</v>
      </c>
      <c r="K12" s="9" t="n">
        <f aca="false">H12/F12</f>
        <v>127.5</v>
      </c>
    </row>
    <row r="13" customFormat="false" ht="15" hidden="false" customHeight="false" outlineLevel="0" collapsed="false">
      <c r="A13" s="6"/>
      <c r="B13" s="6"/>
      <c r="C13" s="6"/>
      <c r="D13" s="6"/>
      <c r="E13" s="6" t="n">
        <v>8</v>
      </c>
      <c r="F13" s="6" t="n">
        <f aca="false">E13-1</f>
        <v>7</v>
      </c>
      <c r="G13" s="7" t="n">
        <v>495</v>
      </c>
      <c r="H13" s="7" t="n">
        <v>690</v>
      </c>
      <c r="I13" s="8" t="n">
        <f aca="false">H13-G13</f>
        <v>195</v>
      </c>
      <c r="J13" s="9" t="n">
        <f aca="false">G13/F13</f>
        <v>70.7142857142857</v>
      </c>
      <c r="K13" s="9" t="n">
        <f aca="false">H13/F13</f>
        <v>98.5714285714286</v>
      </c>
    </row>
    <row r="14" customFormat="false" ht="15" hidden="false" customHeight="false" outlineLevel="0" collapsed="false">
      <c r="A14" s="2" t="n">
        <v>11</v>
      </c>
      <c r="B14" s="2" t="s">
        <v>19</v>
      </c>
      <c r="C14" s="2" t="s">
        <v>12</v>
      </c>
      <c r="D14" s="2" t="s">
        <v>13</v>
      </c>
      <c r="E14" s="2" t="n">
        <v>4</v>
      </c>
      <c r="F14" s="2" t="n">
        <f aca="false">E14-1</f>
        <v>3</v>
      </c>
      <c r="G14" s="3" t="n">
        <v>375</v>
      </c>
      <c r="H14" s="3" t="n">
        <v>475</v>
      </c>
      <c r="I14" s="4" t="n">
        <f aca="false">H14-G14</f>
        <v>100</v>
      </c>
      <c r="J14" s="5" t="n">
        <f aca="false">G14/F14</f>
        <v>125</v>
      </c>
      <c r="K14" s="5" t="n">
        <f aca="false">H14/F14</f>
        <v>158.333333333333</v>
      </c>
    </row>
    <row r="15" customFormat="false" ht="15" hidden="false" customHeight="false" outlineLevel="0" collapsed="false">
      <c r="A15" s="2"/>
      <c r="B15" s="2"/>
      <c r="C15" s="2"/>
      <c r="D15" s="2"/>
      <c r="E15" s="2" t="n">
        <v>5</v>
      </c>
      <c r="F15" s="2" t="n">
        <f aca="false">E15-1</f>
        <v>4</v>
      </c>
      <c r="G15" s="10" t="n">
        <v>410</v>
      </c>
      <c r="H15" s="3" t="n">
        <v>545</v>
      </c>
      <c r="I15" s="4" t="n">
        <f aca="false">H15-G15</f>
        <v>135</v>
      </c>
      <c r="J15" s="5" t="n">
        <f aca="false">G15/F15</f>
        <v>102.5</v>
      </c>
      <c r="K15" s="5" t="n">
        <f aca="false">H15/F15</f>
        <v>136.25</v>
      </c>
    </row>
    <row r="16" customFormat="false" ht="15" hidden="false" customHeight="false" outlineLevel="0" collapsed="false">
      <c r="A16" s="2"/>
      <c r="B16" s="2"/>
      <c r="C16" s="2"/>
      <c r="D16" s="2"/>
      <c r="E16" s="2" t="n">
        <v>8</v>
      </c>
      <c r="F16" s="2" t="n">
        <f aca="false">E16-1</f>
        <v>7</v>
      </c>
      <c r="G16" s="3" t="n">
        <v>510</v>
      </c>
      <c r="H16" s="3" t="n">
        <v>750</v>
      </c>
      <c r="I16" s="4" t="n">
        <f aca="false">H16-G16</f>
        <v>240</v>
      </c>
      <c r="J16" s="5" t="n">
        <f aca="false">G16/F16</f>
        <v>72.8571428571429</v>
      </c>
      <c r="K16" s="5" t="n">
        <f aca="false">H16/F16</f>
        <v>107.142857142857</v>
      </c>
    </row>
    <row r="17" customFormat="false" ht="15" hidden="false" customHeight="false" outlineLevel="0" collapsed="false">
      <c r="A17" s="6" t="n">
        <v>12</v>
      </c>
      <c r="B17" s="6" t="s">
        <v>20</v>
      </c>
      <c r="C17" s="6" t="s">
        <v>17</v>
      </c>
      <c r="D17" s="6" t="s">
        <v>13</v>
      </c>
      <c r="E17" s="6" t="n">
        <v>4</v>
      </c>
      <c r="F17" s="6" t="n">
        <f aca="false">E17-1</f>
        <v>3</v>
      </c>
      <c r="G17" s="7" t="n">
        <v>425</v>
      </c>
      <c r="H17" s="7" t="n">
        <v>570</v>
      </c>
      <c r="I17" s="8" t="n">
        <f aca="false">H17-G17</f>
        <v>145</v>
      </c>
      <c r="J17" s="9" t="n">
        <f aca="false">G17/F17</f>
        <v>141.666666666667</v>
      </c>
      <c r="K17" s="9" t="n">
        <f aca="false">H17/F17</f>
        <v>190</v>
      </c>
    </row>
    <row r="18" customFormat="false" ht="15" hidden="false" customHeight="false" outlineLevel="0" collapsed="false">
      <c r="A18" s="6"/>
      <c r="B18" s="6"/>
      <c r="C18" s="6"/>
      <c r="D18" s="6"/>
      <c r="E18" s="6" t="n">
        <v>5</v>
      </c>
      <c r="F18" s="6" t="n">
        <f aca="false">E18-1</f>
        <v>4</v>
      </c>
      <c r="G18" s="7" t="n">
        <v>470</v>
      </c>
      <c r="H18" s="10" t="n">
        <v>670</v>
      </c>
      <c r="I18" s="8" t="n">
        <f aca="false">H18-G18</f>
        <v>200</v>
      </c>
      <c r="J18" s="9" t="n">
        <f aca="false">G18/F18</f>
        <v>117.5</v>
      </c>
      <c r="K18" s="9" t="n">
        <f aca="false">H18/F18</f>
        <v>167.5</v>
      </c>
    </row>
    <row r="19" customFormat="false" ht="15" hidden="false" customHeight="false" outlineLevel="0" collapsed="false">
      <c r="A19" s="6"/>
      <c r="B19" s="6"/>
      <c r="C19" s="6"/>
      <c r="D19" s="6"/>
      <c r="E19" s="6" t="n">
        <v>8</v>
      </c>
      <c r="F19" s="6" t="n">
        <f aca="false">E19-1</f>
        <v>7</v>
      </c>
      <c r="G19" s="7" t="n">
        <v>620</v>
      </c>
      <c r="H19" s="7" t="n">
        <v>970</v>
      </c>
      <c r="I19" s="8" t="n">
        <f aca="false">H19-G19</f>
        <v>350</v>
      </c>
      <c r="J19" s="9" t="n">
        <f aca="false">G19/F19</f>
        <v>88.5714285714286</v>
      </c>
      <c r="K19" s="9" t="n">
        <f aca="false">H19/F19</f>
        <v>138.571428571429</v>
      </c>
    </row>
    <row r="21" customFormat="false" ht="14.15" hidden="false" customHeight="false" outlineLevel="0" collapsed="false">
      <c r="A21" s="11" t="s">
        <v>21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</row>
    <row r="22" customFormat="false" ht="14.15" hidden="false" customHeight="false" outlineLevel="0" collapsed="false">
      <c r="A22" s="12" t="s">
        <v>22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</row>
    <row r="23" customFormat="false" ht="14.15" hidden="false" customHeight="false" outlineLevel="0" collapsed="false">
      <c r="A23" s="12" t="s">
        <v>23</v>
      </c>
      <c r="B23" s="12"/>
      <c r="C23" s="12"/>
      <c r="D23" s="12"/>
      <c r="E23" s="12"/>
      <c r="F23" s="12"/>
      <c r="G23" s="12"/>
      <c r="H23" s="12"/>
      <c r="I23" s="12"/>
      <c r="J23" s="12"/>
      <c r="K23" s="12"/>
    </row>
    <row r="24" customFormat="false" ht="14.15" hidden="false" customHeight="false" outlineLevel="0" collapsed="false">
      <c r="A24" s="12" t="s">
        <v>24</v>
      </c>
      <c r="B24" s="12"/>
      <c r="C24" s="12"/>
      <c r="D24" s="12"/>
      <c r="E24" s="12"/>
      <c r="F24" s="12"/>
      <c r="G24" s="12"/>
      <c r="H24" s="12"/>
      <c r="I24" s="12"/>
      <c r="J24" s="12"/>
      <c r="K24" s="12"/>
    </row>
    <row r="25" customFormat="false" ht="14.15" hidden="false" customHeight="false" outlineLevel="0" collapsed="false">
      <c r="A25" s="12" t="s">
        <v>25</v>
      </c>
      <c r="B25" s="12"/>
      <c r="C25" s="12"/>
      <c r="D25" s="12"/>
      <c r="E25" s="12"/>
      <c r="F25" s="12"/>
      <c r="G25" s="12"/>
      <c r="H25" s="12"/>
      <c r="I25" s="12"/>
      <c r="J25" s="12"/>
      <c r="K25" s="12"/>
    </row>
  </sheetData>
  <mergeCells count="29">
    <mergeCell ref="A2:A4"/>
    <mergeCell ref="B2:B4"/>
    <mergeCell ref="C2:C4"/>
    <mergeCell ref="D2:D4"/>
    <mergeCell ref="A5:A7"/>
    <mergeCell ref="B5:B7"/>
    <mergeCell ref="C5:C7"/>
    <mergeCell ref="D5:D7"/>
    <mergeCell ref="A8:A10"/>
    <mergeCell ref="B8:B10"/>
    <mergeCell ref="C8:C10"/>
    <mergeCell ref="D8:D10"/>
    <mergeCell ref="A11:A13"/>
    <mergeCell ref="B11:B13"/>
    <mergeCell ref="C11:C13"/>
    <mergeCell ref="D11:D13"/>
    <mergeCell ref="A14:A16"/>
    <mergeCell ref="B14:B16"/>
    <mergeCell ref="C14:C16"/>
    <mergeCell ref="D14:D16"/>
    <mergeCell ref="A17:A19"/>
    <mergeCell ref="B17:B19"/>
    <mergeCell ref="C17:C19"/>
    <mergeCell ref="D17:D19"/>
    <mergeCell ref="A21:K21"/>
    <mergeCell ref="A22:K22"/>
    <mergeCell ref="A23:K23"/>
    <mergeCell ref="A24:K24"/>
    <mergeCell ref="A25:K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7" min="2" style="0" width="16"/>
  </cols>
  <sheetData>
    <row r="1" customFormat="false" ht="31.5" hidden="false" customHeight="true" outlineLevel="0" collapsed="false">
      <c r="A1" s="1" t="s">
        <v>1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</row>
    <row r="2" customFormat="false" ht="15" hidden="false" customHeight="false" outlineLevel="0" collapsed="false">
      <c r="A2" s="13" t="s">
        <v>32</v>
      </c>
      <c r="B2" s="14" t="n">
        <f aca="false">'عروض الأسعار'!G2</f>
        <v>345</v>
      </c>
      <c r="C2" s="14" t="n">
        <f aca="false">'عروض الأسعار'!H2</f>
        <v>415</v>
      </c>
      <c r="D2" s="14" t="n">
        <f aca="false">'عروض الأسعار'!G3</f>
        <v>370</v>
      </c>
      <c r="E2" s="14" t="n">
        <f aca="false">'عروض الأسعار'!H3</f>
        <v>465</v>
      </c>
      <c r="F2" s="14" t="n">
        <f aca="false">'عروض الأسعار'!G4</f>
        <v>440</v>
      </c>
      <c r="G2" s="14" t="n">
        <f aca="false">'عروض الأسعار'!H4</f>
        <v>605</v>
      </c>
    </row>
    <row r="3" customFormat="false" ht="15" hidden="false" customHeight="false" outlineLevel="0" collapsed="false">
      <c r="A3" s="13" t="s">
        <v>33</v>
      </c>
      <c r="B3" s="14" t="n">
        <f aca="false">'عروض الأسعار'!G5</f>
        <v>350</v>
      </c>
      <c r="C3" s="14" t="n">
        <f aca="false">'عروض الأسعار'!H5</f>
        <v>430</v>
      </c>
      <c r="D3" s="14" t="n">
        <f aca="false">'عروض الأسعار'!G6</f>
        <v>375</v>
      </c>
      <c r="E3" s="14" t="n">
        <f aca="false">'عروض الأسعار'!H6</f>
        <v>480</v>
      </c>
      <c r="F3" s="14" t="n">
        <f aca="false">'عروض الأسعار'!G7</f>
        <v>455</v>
      </c>
      <c r="G3" s="14" t="n">
        <f aca="false">'عروض الأسعار'!H7</f>
        <v>635</v>
      </c>
    </row>
    <row r="4" customFormat="false" ht="15" hidden="false" customHeight="false" outlineLevel="0" collapsed="false">
      <c r="A4" s="13" t="s">
        <v>34</v>
      </c>
      <c r="B4" s="14" t="n">
        <f aca="false">'عروض الأسعار'!G8</f>
        <v>360</v>
      </c>
      <c r="C4" s="14" t="n">
        <f aca="false">'عروض الأسعار'!H8</f>
        <v>450</v>
      </c>
      <c r="D4" s="14" t="n">
        <f aca="false">'عروض الأسعار'!G9</f>
        <v>380</v>
      </c>
      <c r="E4" s="14" t="n">
        <f aca="false">'عروض الأسعار'!H9</f>
        <v>505</v>
      </c>
      <c r="F4" s="14" t="n">
        <f aca="false">'عروض الأسعار'!G10</f>
        <v>415</v>
      </c>
      <c r="G4" s="14" t="n">
        <f aca="false">'عروض الأسعار'!H10</f>
        <v>680</v>
      </c>
    </row>
    <row r="5" customFormat="false" ht="15" hidden="false" customHeight="false" outlineLevel="0" collapsed="false">
      <c r="A5" s="13" t="s">
        <v>35</v>
      </c>
      <c r="B5" s="14" t="n">
        <f aca="false">'عروض الأسعار'!G11</f>
        <v>370</v>
      </c>
      <c r="C5" s="14" t="n">
        <f aca="false">'عروض الأسعار'!H11</f>
        <v>455</v>
      </c>
      <c r="D5" s="14" t="n">
        <f aca="false">'عروض الأسعار'!G12</f>
        <v>399</v>
      </c>
      <c r="E5" s="14" t="n">
        <f aca="false">'عروض الأسعار'!H12</f>
        <v>510</v>
      </c>
      <c r="F5" s="14" t="n">
        <f aca="false">'عروض الأسعار'!G13</f>
        <v>495</v>
      </c>
      <c r="G5" s="14" t="n">
        <f aca="false">'عروض الأسعار'!H13</f>
        <v>690</v>
      </c>
    </row>
    <row r="6" customFormat="false" ht="15" hidden="false" customHeight="false" outlineLevel="0" collapsed="false">
      <c r="A6" s="13" t="s">
        <v>36</v>
      </c>
      <c r="B6" s="14" t="n">
        <f aca="false">'عروض الأسعار'!G14</f>
        <v>375</v>
      </c>
      <c r="C6" s="14" t="n">
        <f aca="false">'عروض الأسعار'!H14</f>
        <v>475</v>
      </c>
      <c r="D6" s="14" t="n">
        <f aca="false">'عروض الأسعار'!G15</f>
        <v>410</v>
      </c>
      <c r="E6" s="14" t="n">
        <f aca="false">'عروض الأسعار'!H15</f>
        <v>545</v>
      </c>
      <c r="F6" s="14" t="n">
        <f aca="false">'عروض الأسعار'!G16</f>
        <v>510</v>
      </c>
      <c r="G6" s="14" t="n">
        <f aca="false">'عروض الأسعار'!H16</f>
        <v>750</v>
      </c>
    </row>
    <row r="7" customFormat="false" ht="15" hidden="false" customHeight="false" outlineLevel="0" collapsed="false">
      <c r="A7" s="13" t="s">
        <v>37</v>
      </c>
      <c r="B7" s="14" t="n">
        <f aca="false">'عروض الأسعار'!G17</f>
        <v>425</v>
      </c>
      <c r="C7" s="14" t="n">
        <f aca="false">'عروض الأسعار'!H17</f>
        <v>570</v>
      </c>
      <c r="D7" s="14" t="n">
        <f aca="false">'عروض الأسعار'!G18</f>
        <v>470</v>
      </c>
      <c r="E7" s="14" t="n">
        <f aca="false">'عروض الأسعار'!H18</f>
        <v>670</v>
      </c>
      <c r="F7" s="14" t="n">
        <f aca="false">'عروض الأسعار'!G19</f>
        <v>620</v>
      </c>
      <c r="G7" s="14" t="n">
        <f aca="false">'عروض الأسعار'!H19</f>
        <v>970</v>
      </c>
    </row>
    <row r="8" customFormat="false" ht="15" hidden="false" customHeight="false" outlineLevel="0" collapsed="false">
      <c r="A8" s="15" t="s">
        <v>38</v>
      </c>
      <c r="B8" s="15" t="n">
        <f aca="false">MIN(B2:B7)</f>
        <v>345</v>
      </c>
      <c r="C8" s="15" t="n">
        <f aca="false">MIN(C2:C7)</f>
        <v>415</v>
      </c>
      <c r="D8" s="15" t="n">
        <f aca="false">MIN(D2:D7)</f>
        <v>370</v>
      </c>
      <c r="E8" s="15" t="n">
        <f aca="false">MIN(E2:E7)</f>
        <v>465</v>
      </c>
      <c r="F8" s="15" t="n">
        <f aca="false">MIN(F2:F7)</f>
        <v>415</v>
      </c>
      <c r="G8" s="15" t="n">
        <f aca="false">MIN(G2:G7)</f>
        <v>605</v>
      </c>
    </row>
    <row r="9" customFormat="false" ht="39.55" hidden="false" customHeight="false" outlineLevel="0" collapsed="false">
      <c r="A9" s="15" t="s">
        <v>39</v>
      </c>
      <c r="B9" s="15" t="str">
        <f aca="false">INDEX($A$2:$A$7,MATCH(B8,B2:B7,0))</f>
        <v>Taksim Express Hotel (4*)</v>
      </c>
      <c r="C9" s="15" t="str">
        <f aca="false">INDEX($A$2:$A$7,MATCH(C8,C2:C7,0))</f>
        <v>Taksim Express Hotel (4*)</v>
      </c>
      <c r="D9" s="15" t="str">
        <f aca="false">INDEX($A$2:$A$7,MATCH(D8,D2:D7,0))</f>
        <v>Taksim Express Hotel (4*)</v>
      </c>
      <c r="E9" s="15" t="str">
        <f aca="false">INDEX($A$2:$A$7,MATCH(E8,E2:E7,0))</f>
        <v>Taksim Express Hotel (4*)</v>
      </c>
      <c r="F9" s="15" t="str">
        <f aca="false">INDEX($A$2:$A$7,MATCH(F8,F2:F7,0))</f>
        <v>Konak Hotel (4*)</v>
      </c>
      <c r="G9" s="15" t="str">
        <f aca="false">INDEX($A$2:$A$7,MATCH(G8,G2:G7,0))</f>
        <v>Taksim Express Hotel (4*)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2026-10-13T12:45:21Z</dcterms:created>
  <dc:creator>openpyxl</dc:creator>
  <dc:description/>
  <dc:language>en-US</dc:language>
  <cp:lastModifiedBy/>
  <dcterms:modified xsi:type="dcterms:W3CDTF">2026-10-13T12:45:21Z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